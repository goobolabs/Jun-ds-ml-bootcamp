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KARIYE JAMA\Downloads\"/>
    </mc:Choice>
  </mc:AlternateContent>
  <xr:revisionPtr revIDLastSave="0" documentId="8_{A59CF9E8-54E4-48D2-86A6-4EFF56AFDFDF}" xr6:coauthVersionLast="47" xr6:coauthVersionMax="47" xr10:uidLastSave="{00000000-0000-0000-0000-000000000000}"/>
  <bookViews>
    <workbookView xWindow="-98" yWindow="-98" windowWidth="19396" windowHeight="10276" tabRatio="500" xr2:uid="{00000000-000D-0000-FFFF-FFFF00000000}"/>
  </bookViews>
  <sheets>
    <sheet name="Survey 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8" i="1" l="1"/>
  <c r="B67" i="1"/>
  <c r="B66" i="1"/>
  <c r="B65" i="1"/>
  <c r="B62" i="1"/>
  <c r="E61" i="1"/>
  <c r="D61" i="1"/>
  <c r="C61" i="1"/>
  <c r="B61" i="1"/>
  <c r="E60" i="1"/>
  <c r="D60" i="1"/>
  <c r="C60" i="1"/>
  <c r="B60" i="1"/>
  <c r="E59" i="1"/>
  <c r="D59" i="1"/>
  <c r="C59" i="1"/>
  <c r="B59" i="1"/>
</calcChain>
</file>

<file path=xl/sharedStrings.xml><?xml version="1.0" encoding="utf-8"?>
<sst xmlns="http://schemas.openxmlformats.org/spreadsheetml/2006/main" count="69" uniqueCount="17">
  <si>
    <t>Mobile Money Usage Survey - Dataset (52 Respondents)</t>
  </si>
  <si>
    <t>No.</t>
  </si>
  <si>
    <t>Age</t>
  </si>
  <si>
    <t>Weekly Frequency (Mobile Money use)</t>
  </si>
  <si>
    <t>Avg Amount Sent ($/week)</t>
  </si>
  <si>
    <t>Avg Amount Received ($/week)</t>
  </si>
  <si>
    <t>Purpose</t>
  </si>
  <si>
    <t>Business (ganacsi)</t>
  </si>
  <si>
    <t>Bills (kuraas, koronto)</t>
  </si>
  <si>
    <t>Personal use (qaraabo/saaxiibo)</t>
  </si>
  <si>
    <t>Savings (kaydin)</t>
  </si>
  <si>
    <t>Summary Statistics</t>
  </si>
  <si>
    <t>Average</t>
  </si>
  <si>
    <t>Minimum</t>
  </si>
  <si>
    <t>Maximum</t>
  </si>
  <si>
    <t>Total respondents</t>
  </si>
  <si>
    <t>Purpose Breakdown (count)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</si>
</sst>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4" borderId="0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/>
    <xf numFmtId="164" fontId="3" fillId="0" borderId="1" xfId="0" applyNumberFormat="1" applyFont="1" applyBorder="1"/>
    <xf numFmtId="0" fontId="5" fillId="0" borderId="0" xfId="0" applyFont="1"/>
    <xf numFmtId="1" fontId="3" fillId="0" borderId="0" xfId="0" applyNumberFormat="1" applyFont="1"/>
    <xf numFmtId="164" fontId="3" fillId="0" borderId="0" xfId="0" applyNumberFormat="1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zoomScaleNormal="100" workbookViewId="0">
      <pane ySplit="3" topLeftCell="A51" activePane="bottomLeft" state="frozen"/>
      <selection pane="bottomLeft" activeCell="G31" sqref="G31"/>
    </sheetView>
  </sheetViews>
  <sheetFormatPr defaultColWidth="8.6640625" defaultRowHeight="14.25" x14ac:dyDescent="0.45"/>
  <cols>
    <col min="1" max="1" width="6" customWidth="1"/>
    <col min="2" max="2" width="8" customWidth="1"/>
    <col min="3" max="3" width="22" customWidth="1"/>
    <col min="4" max="4" width="20" customWidth="1"/>
    <col min="5" max="5" width="22" customWidth="1"/>
    <col min="6" max="6" width="30" customWidth="1"/>
  </cols>
  <sheetData>
    <row r="1" spans="1:6" ht="21.75" customHeight="1" x14ac:dyDescent="0.45">
      <c r="A1" s="2" t="s">
        <v>0</v>
      </c>
      <c r="B1" s="2"/>
      <c r="C1" s="2"/>
      <c r="D1" s="2"/>
      <c r="E1" s="2"/>
      <c r="F1" s="2"/>
    </row>
    <row r="3" spans="1:6" ht="27.75" x14ac:dyDescent="0.4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45">
      <c r="A4" s="4">
        <v>1</v>
      </c>
      <c r="B4" s="5">
        <v>21</v>
      </c>
      <c r="C4" s="5">
        <v>12</v>
      </c>
      <c r="D4" s="6">
        <v>59</v>
      </c>
      <c r="E4" s="6">
        <v>65</v>
      </c>
      <c r="F4" s="5" t="s">
        <v>7</v>
      </c>
    </row>
    <row r="5" spans="1:6" x14ac:dyDescent="0.45">
      <c r="A5" s="4">
        <v>2</v>
      </c>
      <c r="B5" s="5">
        <v>25</v>
      </c>
      <c r="C5" s="5">
        <v>17</v>
      </c>
      <c r="D5" s="6">
        <v>70</v>
      </c>
      <c r="E5" s="6">
        <v>200</v>
      </c>
      <c r="F5" s="5" t="s">
        <v>8</v>
      </c>
    </row>
    <row r="6" spans="1:6" x14ac:dyDescent="0.45">
      <c r="A6" s="4">
        <v>3</v>
      </c>
      <c r="B6" s="5">
        <v>22</v>
      </c>
      <c r="C6" s="5">
        <v>3</v>
      </c>
      <c r="D6" s="6">
        <v>300</v>
      </c>
      <c r="E6" s="6">
        <v>1000</v>
      </c>
      <c r="F6" s="5" t="s">
        <v>7</v>
      </c>
    </row>
    <row r="7" spans="1:6" x14ac:dyDescent="0.45">
      <c r="A7" s="4">
        <v>4</v>
      </c>
      <c r="B7" s="5">
        <v>22</v>
      </c>
      <c r="C7" s="5">
        <v>0</v>
      </c>
      <c r="D7" s="6">
        <v>0</v>
      </c>
      <c r="E7" s="6">
        <v>0</v>
      </c>
      <c r="F7" s="5" t="s">
        <v>9</v>
      </c>
    </row>
    <row r="8" spans="1:6" x14ac:dyDescent="0.45">
      <c r="A8" s="4">
        <v>5</v>
      </c>
      <c r="B8" s="5">
        <v>17</v>
      </c>
      <c r="C8" s="5">
        <v>6</v>
      </c>
      <c r="D8" s="6">
        <v>2</v>
      </c>
      <c r="E8" s="6">
        <v>5</v>
      </c>
      <c r="F8" s="5" t="s">
        <v>10</v>
      </c>
    </row>
    <row r="9" spans="1:6" x14ac:dyDescent="0.45">
      <c r="A9" s="4">
        <v>6</v>
      </c>
      <c r="B9" s="5">
        <v>28</v>
      </c>
      <c r="C9" s="5">
        <v>7</v>
      </c>
      <c r="D9" s="6">
        <v>800</v>
      </c>
      <c r="E9" s="6">
        <v>1800</v>
      </c>
      <c r="F9" s="5" t="s">
        <v>10</v>
      </c>
    </row>
    <row r="10" spans="1:6" x14ac:dyDescent="0.45">
      <c r="A10" s="4">
        <v>7</v>
      </c>
      <c r="B10" s="5">
        <v>28</v>
      </c>
      <c r="C10" s="5">
        <v>9</v>
      </c>
      <c r="D10" s="6">
        <v>58</v>
      </c>
      <c r="E10" s="6">
        <v>150</v>
      </c>
      <c r="F10" s="5" t="s">
        <v>8</v>
      </c>
    </row>
    <row r="11" spans="1:6" x14ac:dyDescent="0.45">
      <c r="A11" s="4">
        <v>8</v>
      </c>
      <c r="B11" s="5">
        <v>56</v>
      </c>
      <c r="C11" s="5">
        <v>5</v>
      </c>
      <c r="D11" s="6">
        <v>150</v>
      </c>
      <c r="E11" s="6">
        <v>150</v>
      </c>
      <c r="F11" s="5" t="s">
        <v>8</v>
      </c>
    </row>
    <row r="12" spans="1:6" x14ac:dyDescent="0.45">
      <c r="A12" s="4">
        <v>9</v>
      </c>
      <c r="B12" s="5">
        <v>21</v>
      </c>
      <c r="C12" s="5">
        <v>4</v>
      </c>
      <c r="D12" s="6">
        <v>50</v>
      </c>
      <c r="E12" s="6">
        <v>100</v>
      </c>
      <c r="F12" s="5" t="s">
        <v>9</v>
      </c>
    </row>
    <row r="13" spans="1:6" x14ac:dyDescent="0.45">
      <c r="A13" s="4">
        <v>10</v>
      </c>
      <c r="B13" s="5">
        <v>23</v>
      </c>
      <c r="C13" s="5">
        <v>7</v>
      </c>
      <c r="D13" s="6">
        <v>200</v>
      </c>
      <c r="E13" s="6">
        <v>300</v>
      </c>
      <c r="F13" s="5" t="s">
        <v>7</v>
      </c>
    </row>
    <row r="14" spans="1:6" x14ac:dyDescent="0.45">
      <c r="A14" s="4">
        <v>11</v>
      </c>
      <c r="B14" s="5">
        <v>23</v>
      </c>
      <c r="C14" s="5">
        <v>7</v>
      </c>
      <c r="D14" s="6">
        <v>200</v>
      </c>
      <c r="E14" s="6">
        <v>300</v>
      </c>
      <c r="F14" s="5" t="s">
        <v>8</v>
      </c>
    </row>
    <row r="15" spans="1:6" x14ac:dyDescent="0.45">
      <c r="A15" s="4">
        <v>12</v>
      </c>
      <c r="B15" s="5">
        <v>27</v>
      </c>
      <c r="C15" s="5">
        <v>3</v>
      </c>
      <c r="D15" s="6">
        <v>50</v>
      </c>
      <c r="E15" s="6">
        <v>150</v>
      </c>
      <c r="F15" s="5" t="s">
        <v>10</v>
      </c>
    </row>
    <row r="16" spans="1:6" x14ac:dyDescent="0.45">
      <c r="A16" s="4">
        <v>13</v>
      </c>
      <c r="B16" s="5">
        <v>50</v>
      </c>
      <c r="C16" s="5">
        <v>6</v>
      </c>
      <c r="D16" s="6">
        <v>900</v>
      </c>
      <c r="E16" s="6">
        <v>1800</v>
      </c>
      <c r="F16" s="5" t="s">
        <v>7</v>
      </c>
    </row>
    <row r="17" spans="1:6" x14ac:dyDescent="0.45">
      <c r="A17" s="4">
        <v>14</v>
      </c>
      <c r="B17" s="5">
        <v>30</v>
      </c>
      <c r="C17" s="5">
        <v>5</v>
      </c>
      <c r="D17" s="6">
        <v>350</v>
      </c>
      <c r="E17" s="6">
        <v>700</v>
      </c>
      <c r="F17" s="5" t="s">
        <v>9</v>
      </c>
    </row>
    <row r="18" spans="1:6" x14ac:dyDescent="0.45">
      <c r="A18" s="4">
        <v>15</v>
      </c>
      <c r="B18" s="5">
        <v>30</v>
      </c>
      <c r="C18" s="5">
        <v>7</v>
      </c>
      <c r="D18" s="6">
        <v>200</v>
      </c>
      <c r="E18" s="6">
        <v>150</v>
      </c>
      <c r="F18" s="5" t="s">
        <v>9</v>
      </c>
    </row>
    <row r="19" spans="1:6" x14ac:dyDescent="0.45">
      <c r="A19" s="4">
        <v>16</v>
      </c>
      <c r="B19" s="5">
        <v>30</v>
      </c>
      <c r="C19" s="5">
        <v>4</v>
      </c>
      <c r="D19" s="6">
        <v>500</v>
      </c>
      <c r="E19" s="6">
        <v>700</v>
      </c>
      <c r="F19" s="5" t="s">
        <v>8</v>
      </c>
    </row>
    <row r="20" spans="1:6" x14ac:dyDescent="0.45">
      <c r="A20" s="4">
        <v>17</v>
      </c>
      <c r="B20" s="5">
        <v>23</v>
      </c>
      <c r="C20" s="5">
        <v>7</v>
      </c>
      <c r="D20" s="6">
        <v>400</v>
      </c>
      <c r="E20" s="6">
        <v>600</v>
      </c>
      <c r="F20" s="5" t="s">
        <v>10</v>
      </c>
    </row>
    <row r="21" spans="1:6" x14ac:dyDescent="0.45">
      <c r="A21" s="4">
        <v>18</v>
      </c>
      <c r="B21" s="5">
        <v>40</v>
      </c>
      <c r="C21" s="5">
        <v>12</v>
      </c>
      <c r="D21" s="6">
        <v>600</v>
      </c>
      <c r="E21" s="6">
        <v>1800</v>
      </c>
      <c r="F21" s="5" t="s">
        <v>9</v>
      </c>
    </row>
    <row r="22" spans="1:6" x14ac:dyDescent="0.45">
      <c r="A22" s="4">
        <v>19</v>
      </c>
      <c r="B22" s="5">
        <v>45</v>
      </c>
      <c r="C22" s="5">
        <v>4</v>
      </c>
      <c r="D22" s="6">
        <v>300</v>
      </c>
      <c r="E22" s="6">
        <v>300</v>
      </c>
      <c r="F22" s="5" t="s">
        <v>8</v>
      </c>
    </row>
    <row r="23" spans="1:6" x14ac:dyDescent="0.45">
      <c r="A23" s="4">
        <v>20</v>
      </c>
      <c r="B23" s="5">
        <v>25</v>
      </c>
      <c r="C23" s="5">
        <v>1</v>
      </c>
      <c r="D23" s="6">
        <v>200</v>
      </c>
      <c r="E23" s="6">
        <v>300</v>
      </c>
      <c r="F23" s="5" t="s">
        <v>8</v>
      </c>
    </row>
    <row r="24" spans="1:6" x14ac:dyDescent="0.45">
      <c r="A24" s="4">
        <v>21</v>
      </c>
      <c r="B24" s="5">
        <v>16</v>
      </c>
      <c r="C24" s="5">
        <v>3</v>
      </c>
      <c r="D24" s="6">
        <v>6</v>
      </c>
      <c r="E24" s="6">
        <v>12</v>
      </c>
      <c r="F24" s="5" t="s">
        <v>9</v>
      </c>
    </row>
    <row r="25" spans="1:6" x14ac:dyDescent="0.45">
      <c r="A25" s="4">
        <v>22</v>
      </c>
      <c r="B25" s="5">
        <v>21</v>
      </c>
      <c r="C25" s="5">
        <v>5</v>
      </c>
      <c r="D25" s="6">
        <v>400</v>
      </c>
      <c r="E25" s="6">
        <v>600</v>
      </c>
      <c r="F25" s="5" t="s">
        <v>10</v>
      </c>
    </row>
    <row r="26" spans="1:6" x14ac:dyDescent="0.45">
      <c r="A26" s="4">
        <v>23</v>
      </c>
      <c r="B26" s="5">
        <v>34</v>
      </c>
      <c r="C26" s="5">
        <v>6</v>
      </c>
      <c r="D26" s="6">
        <v>150</v>
      </c>
      <c r="E26" s="6">
        <v>200</v>
      </c>
      <c r="F26" s="5" t="s">
        <v>7</v>
      </c>
    </row>
    <row r="27" spans="1:6" x14ac:dyDescent="0.45">
      <c r="A27" s="4">
        <v>24</v>
      </c>
      <c r="B27" s="5">
        <v>70</v>
      </c>
      <c r="C27" s="5">
        <v>7</v>
      </c>
      <c r="D27" s="6">
        <v>450</v>
      </c>
      <c r="E27" s="6">
        <v>740</v>
      </c>
      <c r="F27" s="5" t="s">
        <v>9</v>
      </c>
    </row>
    <row r="28" spans="1:6" x14ac:dyDescent="0.45">
      <c r="A28" s="4">
        <v>25</v>
      </c>
      <c r="B28" s="5">
        <v>56</v>
      </c>
      <c r="C28" s="5">
        <v>3</v>
      </c>
      <c r="D28" s="6">
        <v>809</v>
      </c>
      <c r="E28" s="6">
        <v>1076</v>
      </c>
      <c r="F28" s="5" t="s">
        <v>7</v>
      </c>
    </row>
    <row r="29" spans="1:6" x14ac:dyDescent="0.45">
      <c r="A29" s="4">
        <v>26</v>
      </c>
      <c r="B29" s="5">
        <v>30</v>
      </c>
      <c r="C29" s="5">
        <v>4</v>
      </c>
      <c r="D29" s="6">
        <v>742</v>
      </c>
      <c r="E29" s="6">
        <v>1401</v>
      </c>
      <c r="F29" s="5" t="s">
        <v>7</v>
      </c>
    </row>
    <row r="30" spans="1:6" x14ac:dyDescent="0.45">
      <c r="A30" s="4">
        <v>27</v>
      </c>
      <c r="B30" s="5">
        <v>50</v>
      </c>
      <c r="C30" s="5">
        <v>2</v>
      </c>
      <c r="D30" s="6">
        <v>34</v>
      </c>
      <c r="E30" s="6">
        <v>42</v>
      </c>
      <c r="F30" s="5" t="s">
        <v>10</v>
      </c>
    </row>
    <row r="31" spans="1:6" x14ac:dyDescent="0.45">
      <c r="A31" s="4">
        <v>28</v>
      </c>
      <c r="B31" s="5">
        <v>29</v>
      </c>
      <c r="C31" s="5">
        <v>7</v>
      </c>
      <c r="D31" s="6">
        <v>624</v>
      </c>
      <c r="E31" s="6">
        <v>773</v>
      </c>
      <c r="F31" s="5" t="s">
        <v>7</v>
      </c>
    </row>
    <row r="32" spans="1:6" x14ac:dyDescent="0.45">
      <c r="A32" s="4">
        <v>29</v>
      </c>
      <c r="B32" s="5">
        <v>57</v>
      </c>
      <c r="C32" s="5">
        <v>17</v>
      </c>
      <c r="D32" s="6">
        <v>227</v>
      </c>
      <c r="E32" s="6">
        <v>385</v>
      </c>
      <c r="F32" s="5" t="s">
        <v>10</v>
      </c>
    </row>
    <row r="33" spans="1:6" x14ac:dyDescent="0.45">
      <c r="A33" s="4">
        <v>30</v>
      </c>
      <c r="B33" s="5">
        <v>33</v>
      </c>
      <c r="C33" s="5">
        <v>0</v>
      </c>
      <c r="D33" s="6">
        <v>0</v>
      </c>
      <c r="E33" s="6">
        <v>0</v>
      </c>
      <c r="F33" s="5" t="s">
        <v>8</v>
      </c>
    </row>
    <row r="34" spans="1:6" x14ac:dyDescent="0.45">
      <c r="A34" s="4">
        <v>31</v>
      </c>
      <c r="B34" s="5">
        <v>25</v>
      </c>
      <c r="C34" s="5">
        <v>6</v>
      </c>
      <c r="D34" s="6">
        <v>110</v>
      </c>
      <c r="E34" s="6">
        <v>120</v>
      </c>
      <c r="F34" s="5" t="s">
        <v>9</v>
      </c>
    </row>
    <row r="35" spans="1:6" x14ac:dyDescent="0.45">
      <c r="A35" s="4">
        <v>32</v>
      </c>
      <c r="B35" s="5">
        <v>22</v>
      </c>
      <c r="C35" s="5">
        <v>11</v>
      </c>
      <c r="D35" s="6">
        <v>276</v>
      </c>
      <c r="E35" s="6">
        <v>499</v>
      </c>
      <c r="F35" s="5" t="s">
        <v>9</v>
      </c>
    </row>
    <row r="36" spans="1:6" x14ac:dyDescent="0.45">
      <c r="A36" s="4">
        <v>33</v>
      </c>
      <c r="B36" s="5">
        <v>62</v>
      </c>
      <c r="C36" s="5">
        <v>14</v>
      </c>
      <c r="D36" s="6">
        <v>437</v>
      </c>
      <c r="E36" s="6">
        <v>478</v>
      </c>
      <c r="F36" s="5" t="s">
        <v>7</v>
      </c>
    </row>
    <row r="37" spans="1:6" x14ac:dyDescent="0.45">
      <c r="A37" s="4">
        <v>34</v>
      </c>
      <c r="B37" s="5">
        <v>34</v>
      </c>
      <c r="C37" s="5">
        <v>11</v>
      </c>
      <c r="D37" s="6">
        <v>121</v>
      </c>
      <c r="E37" s="6">
        <v>127</v>
      </c>
      <c r="F37" s="5" t="s">
        <v>8</v>
      </c>
    </row>
    <row r="38" spans="1:6" x14ac:dyDescent="0.45">
      <c r="A38" s="4">
        <v>35</v>
      </c>
      <c r="B38" s="5">
        <v>30</v>
      </c>
      <c r="C38" s="5">
        <v>9</v>
      </c>
      <c r="D38" s="6">
        <v>288</v>
      </c>
      <c r="E38" s="6">
        <v>587</v>
      </c>
      <c r="F38" s="5" t="s">
        <v>7</v>
      </c>
    </row>
    <row r="39" spans="1:6" x14ac:dyDescent="0.45">
      <c r="A39" s="4">
        <v>36</v>
      </c>
      <c r="B39" s="5">
        <v>40</v>
      </c>
      <c r="C39" s="5">
        <v>8</v>
      </c>
      <c r="D39" s="6">
        <v>652</v>
      </c>
      <c r="E39" s="6">
        <v>1381</v>
      </c>
      <c r="F39" s="5" t="s">
        <v>10</v>
      </c>
    </row>
    <row r="40" spans="1:6" x14ac:dyDescent="0.45">
      <c r="A40" s="4">
        <v>37</v>
      </c>
      <c r="B40" s="5">
        <v>26</v>
      </c>
      <c r="C40" s="5">
        <v>11</v>
      </c>
      <c r="D40" s="6">
        <v>220</v>
      </c>
      <c r="E40" s="6">
        <v>367</v>
      </c>
      <c r="F40" s="5" t="s">
        <v>9</v>
      </c>
    </row>
    <row r="41" spans="1:6" x14ac:dyDescent="0.45">
      <c r="A41" s="4">
        <v>38</v>
      </c>
      <c r="B41" s="5">
        <v>60</v>
      </c>
      <c r="C41" s="5">
        <v>2</v>
      </c>
      <c r="D41" s="6">
        <v>596</v>
      </c>
      <c r="E41" s="6">
        <v>1031</v>
      </c>
      <c r="F41" s="5" t="s">
        <v>8</v>
      </c>
    </row>
    <row r="42" spans="1:6" x14ac:dyDescent="0.45">
      <c r="A42" s="4">
        <v>39</v>
      </c>
      <c r="B42" s="5">
        <v>26</v>
      </c>
      <c r="C42" s="5">
        <v>14</v>
      </c>
      <c r="D42" s="6">
        <v>278</v>
      </c>
      <c r="E42" s="6">
        <v>636</v>
      </c>
      <c r="F42" s="5" t="s">
        <v>10</v>
      </c>
    </row>
    <row r="43" spans="1:6" x14ac:dyDescent="0.45">
      <c r="A43" s="4">
        <v>40</v>
      </c>
      <c r="B43" s="5">
        <v>56</v>
      </c>
      <c r="C43" s="5">
        <v>17</v>
      </c>
      <c r="D43" s="6">
        <v>382</v>
      </c>
      <c r="E43" s="6">
        <v>704</v>
      </c>
      <c r="F43" s="5" t="s">
        <v>8</v>
      </c>
    </row>
    <row r="44" spans="1:6" x14ac:dyDescent="0.45">
      <c r="A44" s="4">
        <v>41</v>
      </c>
      <c r="B44" s="5">
        <v>65</v>
      </c>
      <c r="C44" s="5">
        <v>1</v>
      </c>
      <c r="D44" s="6">
        <v>82</v>
      </c>
      <c r="E44" s="6">
        <v>148</v>
      </c>
      <c r="F44" s="5" t="s">
        <v>8</v>
      </c>
    </row>
    <row r="45" spans="1:6" x14ac:dyDescent="0.45">
      <c r="A45" s="4">
        <v>42</v>
      </c>
      <c r="B45" s="5">
        <v>41</v>
      </c>
      <c r="C45" s="5">
        <v>8</v>
      </c>
      <c r="D45" s="6">
        <v>266</v>
      </c>
      <c r="E45" s="6">
        <v>557</v>
      </c>
      <c r="F45" s="5" t="s">
        <v>7</v>
      </c>
    </row>
    <row r="46" spans="1:6" x14ac:dyDescent="0.45">
      <c r="A46" s="4">
        <v>43</v>
      </c>
      <c r="B46" s="5">
        <v>52</v>
      </c>
      <c r="C46" s="5">
        <v>10</v>
      </c>
      <c r="D46" s="6">
        <v>561</v>
      </c>
      <c r="E46" s="6">
        <v>783</v>
      </c>
      <c r="F46" s="5" t="s">
        <v>8</v>
      </c>
    </row>
    <row r="47" spans="1:6" x14ac:dyDescent="0.45">
      <c r="A47" s="4">
        <v>44</v>
      </c>
      <c r="B47" s="5">
        <v>57</v>
      </c>
      <c r="C47" s="5">
        <v>14</v>
      </c>
      <c r="D47" s="6">
        <v>321</v>
      </c>
      <c r="E47" s="6">
        <v>366</v>
      </c>
      <c r="F47" s="5" t="s">
        <v>8</v>
      </c>
    </row>
    <row r="48" spans="1:6" x14ac:dyDescent="0.45">
      <c r="A48" s="4">
        <v>45</v>
      </c>
      <c r="B48" s="5">
        <v>63</v>
      </c>
      <c r="C48" s="5">
        <v>17</v>
      </c>
      <c r="D48" s="6">
        <v>444</v>
      </c>
      <c r="E48" s="6">
        <v>843</v>
      </c>
      <c r="F48" s="5" t="s">
        <v>9</v>
      </c>
    </row>
    <row r="49" spans="1:6" x14ac:dyDescent="0.45">
      <c r="A49" s="4">
        <v>46</v>
      </c>
      <c r="B49" s="5">
        <v>41</v>
      </c>
      <c r="C49" s="5">
        <v>11</v>
      </c>
      <c r="D49" s="6">
        <v>191</v>
      </c>
      <c r="E49" s="6">
        <v>288</v>
      </c>
      <c r="F49" s="5" t="s">
        <v>8</v>
      </c>
    </row>
    <row r="50" spans="1:6" x14ac:dyDescent="0.45">
      <c r="A50" s="4">
        <v>47</v>
      </c>
      <c r="B50" s="5">
        <v>21</v>
      </c>
      <c r="C50" s="5">
        <v>1</v>
      </c>
      <c r="D50" s="6">
        <v>206</v>
      </c>
      <c r="E50" s="6">
        <v>361</v>
      </c>
      <c r="F50" s="5" t="s">
        <v>7</v>
      </c>
    </row>
    <row r="51" spans="1:6" x14ac:dyDescent="0.45">
      <c r="A51" s="4">
        <v>48</v>
      </c>
      <c r="B51" s="5">
        <v>59</v>
      </c>
      <c r="C51" s="5">
        <v>13</v>
      </c>
      <c r="D51" s="6">
        <v>444</v>
      </c>
      <c r="E51" s="6">
        <v>647</v>
      </c>
      <c r="F51" s="5" t="s">
        <v>7</v>
      </c>
    </row>
    <row r="52" spans="1:6" x14ac:dyDescent="0.45">
      <c r="A52" s="4">
        <v>49</v>
      </c>
      <c r="B52" s="5">
        <v>45</v>
      </c>
      <c r="C52" s="5">
        <v>16</v>
      </c>
      <c r="D52" s="6">
        <v>572</v>
      </c>
      <c r="E52" s="6">
        <v>1064</v>
      </c>
      <c r="F52" s="5" t="s">
        <v>9</v>
      </c>
    </row>
    <row r="53" spans="1:6" x14ac:dyDescent="0.45">
      <c r="A53" s="4">
        <v>50</v>
      </c>
      <c r="B53" s="5">
        <v>16</v>
      </c>
      <c r="C53" s="5">
        <v>3</v>
      </c>
      <c r="D53" s="6">
        <v>354</v>
      </c>
      <c r="E53" s="6">
        <v>393</v>
      </c>
      <c r="F53" s="5" t="s">
        <v>9</v>
      </c>
    </row>
    <row r="54" spans="1:6" x14ac:dyDescent="0.45">
      <c r="A54" s="4">
        <v>51</v>
      </c>
      <c r="B54" s="5">
        <v>43</v>
      </c>
      <c r="C54" s="5">
        <v>5</v>
      </c>
      <c r="D54" s="6">
        <v>5</v>
      </c>
      <c r="E54" s="6">
        <v>11</v>
      </c>
      <c r="F54" s="5" t="s">
        <v>10</v>
      </c>
    </row>
    <row r="55" spans="1:6" x14ac:dyDescent="0.45">
      <c r="A55" s="4">
        <v>52</v>
      </c>
      <c r="B55" s="5">
        <v>62</v>
      </c>
      <c r="C55" s="5">
        <v>8</v>
      </c>
      <c r="D55" s="6">
        <v>569</v>
      </c>
      <c r="E55" s="6">
        <v>1088</v>
      </c>
      <c r="F55" s="5" t="s">
        <v>8</v>
      </c>
    </row>
    <row r="58" spans="1:6" ht="15.4" x14ac:dyDescent="0.45">
      <c r="A58" s="1" t="s">
        <v>11</v>
      </c>
      <c r="B58" s="1"/>
      <c r="C58" s="1"/>
      <c r="D58" s="1"/>
      <c r="E58" s="1"/>
      <c r="F58" s="1"/>
    </row>
    <row r="59" spans="1:6" x14ac:dyDescent="0.45">
      <c r="A59" s="7" t="s">
        <v>12</v>
      </c>
      <c r="B59" s="8">
        <f>AVERAGE(B4:B55)</f>
        <v>37.07692307692308</v>
      </c>
      <c r="C59" s="8">
        <f>AVERAGE(C4:C55)</f>
        <v>7.5</v>
      </c>
      <c r="D59" s="9">
        <f>AVERAGE(D4:D55)</f>
        <v>311.65384615384613</v>
      </c>
      <c r="E59" s="9">
        <f>AVERAGE(E4:E55)</f>
        <v>543.80769230769226</v>
      </c>
    </row>
    <row r="60" spans="1:6" x14ac:dyDescent="0.45">
      <c r="A60" s="7" t="s">
        <v>13</v>
      </c>
      <c r="B60" s="8">
        <f>MIN(B4:B55)</f>
        <v>16</v>
      </c>
      <c r="C60" s="8">
        <f>MIN(C4:C55)</f>
        <v>0</v>
      </c>
      <c r="D60" s="9">
        <f>MIN(D4:D55)</f>
        <v>0</v>
      </c>
      <c r="E60" s="9">
        <f>MIN(E4:E55)</f>
        <v>0</v>
      </c>
    </row>
    <row r="61" spans="1:6" x14ac:dyDescent="0.45">
      <c r="A61" s="7" t="s">
        <v>14</v>
      </c>
      <c r="B61" s="8">
        <f>MAX(B4:B55)</f>
        <v>70</v>
      </c>
      <c r="C61" s="8">
        <f>MAX(C4:C55)</f>
        <v>17</v>
      </c>
      <c r="D61" s="9">
        <f>MAX(D4:D55)</f>
        <v>900</v>
      </c>
      <c r="E61" s="9">
        <f>MAX(E4:E55)</f>
        <v>1800</v>
      </c>
    </row>
    <row r="62" spans="1:6" x14ac:dyDescent="0.45">
      <c r="A62" s="7" t="s">
        <v>15</v>
      </c>
      <c r="B62" s="10">
        <f>COUNT(B4:B55)</f>
        <v>52</v>
      </c>
    </row>
    <row r="64" spans="1:6" ht="15.4" x14ac:dyDescent="0.45">
      <c r="A64" s="1" t="s">
        <v>16</v>
      </c>
      <c r="B64" s="1"/>
      <c r="C64" s="1"/>
      <c r="D64" s="1"/>
      <c r="E64" s="1"/>
      <c r="F64" s="1"/>
    </row>
    <row r="65" spans="1:2" x14ac:dyDescent="0.45">
      <c r="A65" s="11" t="s">
        <v>7</v>
      </c>
      <c r="B65" s="11">
        <f>COUNTIF(F4:F55,"Business (ganacsi)")</f>
        <v>13</v>
      </c>
    </row>
    <row r="66" spans="1:2" x14ac:dyDescent="0.45">
      <c r="A66" s="11" t="s">
        <v>8</v>
      </c>
      <c r="B66" s="11">
        <f>COUNTIF(F4:F55,"Bills (kuraas, koronto)")</f>
        <v>16</v>
      </c>
    </row>
    <row r="67" spans="1:2" x14ac:dyDescent="0.45">
      <c r="A67" s="11" t="s">
        <v>9</v>
      </c>
      <c r="B67" s="11">
        <f>COUNTIF(F4:F55,"Personal use (qaraabo/saaxiibo)")</f>
        <v>13</v>
      </c>
    </row>
    <row r="68" spans="1:2" x14ac:dyDescent="0.45">
      <c r="A68" s="11" t="s">
        <v>10</v>
      </c>
      <c r="B68" s="11">
        <f>COUNTIF(F4:F55,"Savings (kaydin)")</f>
        <v>10</v>
      </c>
    </row>
  </sheetData>
  <mergeCells count="3">
    <mergeCell ref="A1:F1"/>
    <mergeCell ref="A58:F58"/>
    <mergeCell ref="A64:F64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saki Jamac</cp:lastModifiedBy>
  <cp:revision>0</cp:revision>
  <dcterms:created xsi:type="dcterms:W3CDTF">2026-06-19T08:38:48Z</dcterms:created>
  <dcterms:modified xsi:type="dcterms:W3CDTF">2026-06-20T07:58:41Z</dcterms:modified>
  <dc:language>en-US</dc:language>
</cp:coreProperties>
</file>